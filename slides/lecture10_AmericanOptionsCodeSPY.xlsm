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BlockPCA\"/>
    </mc:Choice>
  </mc:AlternateContent>
  <bookViews>
    <workbookView xWindow="0" yWindow="0" windowWidth="28800" windowHeight="13005"/>
  </bookViews>
  <sheets>
    <sheet name="SPY_OPTIONS" sheetId="1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2" l="1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4" i="12"/>
</calcChain>
</file>

<file path=xl/sharedStrings.xml><?xml version="1.0" encoding="utf-8"?>
<sst xmlns="http://schemas.openxmlformats.org/spreadsheetml/2006/main" count="13" uniqueCount="10">
  <si>
    <t>strike</t>
  </si>
  <si>
    <t>Price</t>
  </si>
  <si>
    <t>Volume</t>
  </si>
  <si>
    <t>Open Interest</t>
  </si>
  <si>
    <t>Calls</t>
  </si>
  <si>
    <t>Puts</t>
  </si>
  <si>
    <t>C-P</t>
  </si>
  <si>
    <t>Spot</t>
  </si>
  <si>
    <t>Date : Nov 19, 2019</t>
  </si>
  <si>
    <t>Expiry: March 31,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</si>
</sst>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3" fontId="0" fillId="0" borderId="0" xfId="0" applyNumberFormat="1" applyBorder="1"/>
    <xf numFmtId="3" fontId="0" fillId="0" borderId="14" xfId="0" applyNumberFormat="1" applyBorder="1"/>
    <xf numFmtId="0" fontId="0" fillId="0" borderId="14" xfId="0" applyBorder="1"/>
    <xf numFmtId="3" fontId="0" fillId="0" borderId="5" xfId="0" applyNumberFormat="1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SPY_OPTIONS!$I$4:$I$26</c:f>
              <c:numCache>
                <c:formatCode>General</c:formatCode>
                <c:ptCount val="23"/>
                <c:pt idx="0">
                  <c:v>10.760000000000002</c:v>
                </c:pt>
                <c:pt idx="1">
                  <c:v>9.59</c:v>
                </c:pt>
                <c:pt idx="2">
                  <c:v>6.6000000000000005</c:v>
                </c:pt>
                <c:pt idx="3">
                  <c:v>7.8400000000000007</c:v>
                </c:pt>
                <c:pt idx="4">
                  <c:v>6.85</c:v>
                </c:pt>
                <c:pt idx="5">
                  <c:v>5.74</c:v>
                </c:pt>
                <c:pt idx="6">
                  <c:v>4.2300000000000004</c:v>
                </c:pt>
                <c:pt idx="7">
                  <c:v>3.67</c:v>
                </c:pt>
                <c:pt idx="8">
                  <c:v>3.0799999999999983</c:v>
                </c:pt>
                <c:pt idx="9">
                  <c:v>1.8000000000000007</c:v>
                </c:pt>
                <c:pt idx="10">
                  <c:v>0.78999999999999915</c:v>
                </c:pt>
                <c:pt idx="11">
                  <c:v>-0.30999999999999872</c:v>
                </c:pt>
                <c:pt idx="12">
                  <c:v>-1.3399999999999999</c:v>
                </c:pt>
                <c:pt idx="13">
                  <c:v>-2.2200000000000006</c:v>
                </c:pt>
                <c:pt idx="14">
                  <c:v>-3.51</c:v>
                </c:pt>
                <c:pt idx="15">
                  <c:v>-4.7299999999999995</c:v>
                </c:pt>
                <c:pt idx="16">
                  <c:v>-5.39</c:v>
                </c:pt>
                <c:pt idx="17">
                  <c:v>-8.870000000000001</c:v>
                </c:pt>
                <c:pt idx="18">
                  <c:v>-10</c:v>
                </c:pt>
                <c:pt idx="19">
                  <c:v>-8.3899999999999988</c:v>
                </c:pt>
                <c:pt idx="20">
                  <c:v>-9.4699999999999989</c:v>
                </c:pt>
                <c:pt idx="21">
                  <c:v>-10.38</c:v>
                </c:pt>
                <c:pt idx="22">
                  <c:v>-11.15</c:v>
                </c:pt>
              </c:numCache>
            </c:numRef>
          </c:xVal>
          <c:yVal>
            <c:numRef>
              <c:f>SPY_OPTIONS!$J$4:$J$26</c:f>
              <c:numCache>
                <c:formatCode>General</c:formatCode>
                <c:ptCount val="23"/>
                <c:pt idx="0">
                  <c:v>301</c:v>
                </c:pt>
                <c:pt idx="1">
                  <c:v>302</c:v>
                </c:pt>
                <c:pt idx="2">
                  <c:v>303</c:v>
                </c:pt>
                <c:pt idx="3">
                  <c:v>304</c:v>
                </c:pt>
                <c:pt idx="4">
                  <c:v>305</c:v>
                </c:pt>
                <c:pt idx="5">
                  <c:v>306</c:v>
                </c:pt>
                <c:pt idx="6">
                  <c:v>307</c:v>
                </c:pt>
                <c:pt idx="7">
                  <c:v>308</c:v>
                </c:pt>
                <c:pt idx="8">
                  <c:v>309</c:v>
                </c:pt>
                <c:pt idx="9">
                  <c:v>310</c:v>
                </c:pt>
                <c:pt idx="10">
                  <c:v>311</c:v>
                </c:pt>
                <c:pt idx="11">
                  <c:v>312</c:v>
                </c:pt>
                <c:pt idx="12">
                  <c:v>313</c:v>
                </c:pt>
                <c:pt idx="13">
                  <c:v>314</c:v>
                </c:pt>
                <c:pt idx="14">
                  <c:v>315</c:v>
                </c:pt>
                <c:pt idx="15">
                  <c:v>316</c:v>
                </c:pt>
                <c:pt idx="16">
                  <c:v>317</c:v>
                </c:pt>
                <c:pt idx="17">
                  <c:v>318</c:v>
                </c:pt>
                <c:pt idx="18">
                  <c:v>319</c:v>
                </c:pt>
                <c:pt idx="19">
                  <c:v>320</c:v>
                </c:pt>
                <c:pt idx="20">
                  <c:v>321</c:v>
                </c:pt>
                <c:pt idx="21">
                  <c:v>322</c:v>
                </c:pt>
                <c:pt idx="22">
                  <c:v>323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747200"/>
        <c:axId val="511747592"/>
      </c:scatterChart>
      <c:valAx>
        <c:axId val="51174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47592"/>
        <c:crosses val="autoZero"/>
        <c:crossBetween val="midCat"/>
      </c:valAx>
      <c:valAx>
        <c:axId val="51174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4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266700</xdr:colOff>
      <xdr:row>1</xdr:row>
      <xdr:rowOff>138111</xdr:rowOff>
    </xdr:from>
    <xdr:to>
      <xdr:col>26</xdr:col>
      <xdr:colOff>457200</xdr:colOff>
      <xdr:row>23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J26"/>
  <sheetViews>
    <sheetView tabSelected="1" workbookViewId="0">
      <selection activeCell="N34" sqref="N34"/>
    </sheetView>
  </sheetViews>
  <sheetFormatPr defaultRowHeight="15" x14ac:dyDescent="0.25"/>
  <cols>
    <col min="4" max="4" width="13.42578125" bestFit="1" customWidth="1"/>
    <col min="5" max="5" width="11.42578125" customWidth="1"/>
    <col min="8" max="8" width="13.42578125" bestFit="1" customWidth="1"/>
  </cols>
  <sheetData>
    <row r="1" spans="2:10" s="1" customFormat="1" ht="15.75" thickBot="1" x14ac:dyDescent="0.3">
      <c r="B1" s="1" t="s">
        <v>7</v>
      </c>
      <c r="C1" s="1">
        <v>311.97000000000003</v>
      </c>
      <c r="E1" s="1" t="s">
        <v>8</v>
      </c>
      <c r="G1" s="1" t="s">
        <v>9</v>
      </c>
    </row>
    <row r="2" spans="2:10" s="1" customFormat="1" ht="15.75" thickBot="1" x14ac:dyDescent="0.3">
      <c r="B2" s="20" t="s">
        <v>4</v>
      </c>
      <c r="C2" s="21"/>
      <c r="D2" s="21"/>
      <c r="E2" s="2"/>
      <c r="F2" s="21" t="s">
        <v>5</v>
      </c>
      <c r="G2" s="21"/>
      <c r="H2" s="22"/>
    </row>
    <row r="3" spans="2:10" ht="15.75" thickBot="1" x14ac:dyDescent="0.3">
      <c r="B3" s="6" t="s">
        <v>1</v>
      </c>
      <c r="C3" s="7" t="s">
        <v>2</v>
      </c>
      <c r="D3" s="7" t="s">
        <v>3</v>
      </c>
      <c r="E3" s="8" t="s">
        <v>0</v>
      </c>
      <c r="F3" s="7" t="s">
        <v>1</v>
      </c>
      <c r="G3" s="7" t="s">
        <v>2</v>
      </c>
      <c r="H3" s="9" t="s">
        <v>3</v>
      </c>
      <c r="I3" s="19" t="s">
        <v>6</v>
      </c>
    </row>
    <row r="4" spans="2:10" x14ac:dyDescent="0.25">
      <c r="B4" s="13">
        <v>17.96</v>
      </c>
      <c r="C4" s="14">
        <v>610</v>
      </c>
      <c r="D4" s="15">
        <v>1178</v>
      </c>
      <c r="E4" s="10">
        <v>301</v>
      </c>
      <c r="F4" s="14">
        <v>7.2</v>
      </c>
      <c r="G4" s="14">
        <v>2</v>
      </c>
      <c r="H4" s="16">
        <v>1277</v>
      </c>
      <c r="I4">
        <f>B4-F4</f>
        <v>10.760000000000002</v>
      </c>
      <c r="J4" s="10">
        <v>301</v>
      </c>
    </row>
    <row r="5" spans="2:10" x14ac:dyDescent="0.25">
      <c r="B5" s="13">
        <v>17.18</v>
      </c>
      <c r="C5" s="14">
        <v>30</v>
      </c>
      <c r="D5" s="14">
        <v>289</v>
      </c>
      <c r="E5" s="11">
        <v>302</v>
      </c>
      <c r="F5" s="14">
        <v>7.59</v>
      </c>
      <c r="G5" s="14">
        <v>32</v>
      </c>
      <c r="H5" s="16">
        <v>1472</v>
      </c>
      <c r="I5" s="1">
        <f t="shared" ref="I5:I26" si="0">B5-F5</f>
        <v>9.59</v>
      </c>
      <c r="J5" s="11">
        <v>302</v>
      </c>
    </row>
    <row r="6" spans="2:10" x14ac:dyDescent="0.25">
      <c r="B6" s="13">
        <v>14.48</v>
      </c>
      <c r="C6" s="14">
        <v>1</v>
      </c>
      <c r="D6" s="14">
        <v>513</v>
      </c>
      <c r="E6" s="11">
        <v>303</v>
      </c>
      <c r="F6" s="14">
        <v>7.88</v>
      </c>
      <c r="G6" s="14">
        <v>2</v>
      </c>
      <c r="H6" s="16">
        <v>1836</v>
      </c>
      <c r="I6" s="1">
        <f t="shared" si="0"/>
        <v>6.6000000000000005</v>
      </c>
      <c r="J6" s="11">
        <v>303</v>
      </c>
    </row>
    <row r="7" spans="2:10" x14ac:dyDescent="0.25">
      <c r="B7" s="13">
        <v>15.8</v>
      </c>
      <c r="C7" s="14">
        <v>1</v>
      </c>
      <c r="D7" s="14">
        <v>869</v>
      </c>
      <c r="E7" s="11">
        <v>304</v>
      </c>
      <c r="F7" s="14">
        <v>7.96</v>
      </c>
      <c r="G7" s="14">
        <v>72</v>
      </c>
      <c r="H7" s="17">
        <v>704</v>
      </c>
      <c r="I7" s="1">
        <f t="shared" si="0"/>
        <v>7.8400000000000007</v>
      </c>
      <c r="J7" s="11">
        <v>304</v>
      </c>
    </row>
    <row r="8" spans="2:10" x14ac:dyDescent="0.25">
      <c r="B8" s="13">
        <v>15.02</v>
      </c>
      <c r="C8" s="14">
        <v>72</v>
      </c>
      <c r="D8" s="14">
        <v>906</v>
      </c>
      <c r="E8" s="11">
        <v>305</v>
      </c>
      <c r="F8" s="14">
        <v>8.17</v>
      </c>
      <c r="G8" s="14">
        <v>14</v>
      </c>
      <c r="H8" s="17">
        <v>807</v>
      </c>
      <c r="I8" s="1">
        <f t="shared" si="0"/>
        <v>6.85</v>
      </c>
      <c r="J8" s="11">
        <v>305</v>
      </c>
    </row>
    <row r="9" spans="2:10" x14ac:dyDescent="0.25">
      <c r="B9" s="13">
        <v>14.28</v>
      </c>
      <c r="C9" s="14">
        <v>103</v>
      </c>
      <c r="D9" s="14">
        <v>169</v>
      </c>
      <c r="E9" s="11">
        <v>306</v>
      </c>
      <c r="F9" s="14">
        <v>8.5399999999999991</v>
      </c>
      <c r="G9" s="14">
        <v>343</v>
      </c>
      <c r="H9" s="17">
        <v>931</v>
      </c>
      <c r="I9" s="1">
        <f t="shared" si="0"/>
        <v>5.74</v>
      </c>
      <c r="J9" s="11">
        <v>306</v>
      </c>
    </row>
    <row r="10" spans="2:10" x14ac:dyDescent="0.25">
      <c r="B10" s="13">
        <v>13.23</v>
      </c>
      <c r="C10" s="14">
        <v>42</v>
      </c>
      <c r="D10" s="15">
        <v>8069</v>
      </c>
      <c r="E10" s="11">
        <v>307</v>
      </c>
      <c r="F10" s="14">
        <v>9</v>
      </c>
      <c r="G10" s="14">
        <v>4</v>
      </c>
      <c r="H10" s="17">
        <v>617</v>
      </c>
      <c r="I10" s="1">
        <f t="shared" si="0"/>
        <v>4.2300000000000004</v>
      </c>
      <c r="J10" s="11">
        <v>307</v>
      </c>
    </row>
    <row r="11" spans="2:10" x14ac:dyDescent="0.25">
      <c r="B11" s="13">
        <v>12.53</v>
      </c>
      <c r="C11" s="14">
        <v>11</v>
      </c>
      <c r="D11" s="15">
        <v>4130</v>
      </c>
      <c r="E11" s="11">
        <v>308</v>
      </c>
      <c r="F11" s="14">
        <v>8.86</v>
      </c>
      <c r="G11" s="14">
        <v>50</v>
      </c>
      <c r="H11" s="17">
        <v>651</v>
      </c>
      <c r="I11" s="1">
        <f t="shared" si="0"/>
        <v>3.67</v>
      </c>
      <c r="J11" s="11">
        <v>308</v>
      </c>
    </row>
    <row r="12" spans="2:10" x14ac:dyDescent="0.25">
      <c r="B12" s="13">
        <v>12.04</v>
      </c>
      <c r="C12" s="14">
        <v>43</v>
      </c>
      <c r="D12" s="14">
        <v>476</v>
      </c>
      <c r="E12" s="11">
        <v>309</v>
      </c>
      <c r="F12" s="14">
        <v>8.9600000000000009</v>
      </c>
      <c r="G12" s="14">
        <v>1</v>
      </c>
      <c r="H12" s="17">
        <v>532</v>
      </c>
      <c r="I12" s="1">
        <f t="shared" si="0"/>
        <v>3.0799999999999983</v>
      </c>
      <c r="J12" s="11">
        <v>309</v>
      </c>
    </row>
    <row r="13" spans="2:10" x14ac:dyDescent="0.25">
      <c r="B13" s="13">
        <v>11.38</v>
      </c>
      <c r="C13" s="14">
        <v>63</v>
      </c>
      <c r="D13" s="15">
        <v>2267</v>
      </c>
      <c r="E13" s="11">
        <v>310</v>
      </c>
      <c r="F13" s="14">
        <v>9.58</v>
      </c>
      <c r="G13" s="14">
        <v>18</v>
      </c>
      <c r="H13" s="16">
        <v>4716</v>
      </c>
      <c r="I13" s="1">
        <f t="shared" si="0"/>
        <v>1.8000000000000007</v>
      </c>
      <c r="J13" s="11">
        <v>310</v>
      </c>
    </row>
    <row r="14" spans="2:10" x14ac:dyDescent="0.25">
      <c r="B14" s="13">
        <v>10.85</v>
      </c>
      <c r="C14" s="15">
        <v>2000</v>
      </c>
      <c r="D14" s="15">
        <v>2917</v>
      </c>
      <c r="E14" s="11">
        <v>311</v>
      </c>
      <c r="F14" s="14">
        <v>10.06</v>
      </c>
      <c r="G14" s="14">
        <v>97</v>
      </c>
      <c r="H14" s="16">
        <v>3261</v>
      </c>
      <c r="I14" s="1">
        <f t="shared" si="0"/>
        <v>0.78999999999999915</v>
      </c>
      <c r="J14" s="11">
        <v>311</v>
      </c>
    </row>
    <row r="15" spans="2:10" x14ac:dyDescent="0.25">
      <c r="B15" s="13">
        <v>10.210000000000001</v>
      </c>
      <c r="C15" s="14">
        <v>27</v>
      </c>
      <c r="D15" s="15">
        <v>2670</v>
      </c>
      <c r="E15" s="11">
        <v>312</v>
      </c>
      <c r="F15" s="14">
        <v>10.52</v>
      </c>
      <c r="G15" s="14">
        <v>10</v>
      </c>
      <c r="H15" s="16">
        <v>2472</v>
      </c>
      <c r="I15" s="1">
        <f t="shared" si="0"/>
        <v>-0.30999999999999872</v>
      </c>
      <c r="J15" s="11">
        <v>312</v>
      </c>
    </row>
    <row r="16" spans="2:10" x14ac:dyDescent="0.25">
      <c r="B16" s="13">
        <v>9.57</v>
      </c>
      <c r="C16" s="14">
        <v>17</v>
      </c>
      <c r="D16" s="15">
        <v>1720</v>
      </c>
      <c r="E16" s="11">
        <v>313</v>
      </c>
      <c r="F16" s="14">
        <v>10.91</v>
      </c>
      <c r="G16" s="14">
        <v>243</v>
      </c>
      <c r="H16" s="16">
        <v>1303</v>
      </c>
      <c r="I16" s="1">
        <f t="shared" si="0"/>
        <v>-1.3399999999999999</v>
      </c>
      <c r="J16" s="11">
        <v>313</v>
      </c>
    </row>
    <row r="17" spans="2:10" x14ac:dyDescent="0.25">
      <c r="B17" s="13">
        <v>8.91</v>
      </c>
      <c r="C17" s="14">
        <v>1</v>
      </c>
      <c r="D17" s="15">
        <v>3662</v>
      </c>
      <c r="E17" s="11">
        <v>314</v>
      </c>
      <c r="F17" s="14">
        <v>11.13</v>
      </c>
      <c r="G17" s="14">
        <v>31</v>
      </c>
      <c r="H17" s="16">
        <v>1135</v>
      </c>
      <c r="I17" s="1">
        <f t="shared" si="0"/>
        <v>-2.2200000000000006</v>
      </c>
      <c r="J17" s="11">
        <v>314</v>
      </c>
    </row>
    <row r="18" spans="2:10" x14ac:dyDescent="0.25">
      <c r="B18" s="13">
        <v>8.2799999999999994</v>
      </c>
      <c r="C18" s="14">
        <v>114</v>
      </c>
      <c r="D18" s="15">
        <v>5436</v>
      </c>
      <c r="E18" s="11">
        <v>315</v>
      </c>
      <c r="F18" s="14">
        <v>11.79</v>
      </c>
      <c r="G18" s="14">
        <v>161</v>
      </c>
      <c r="H18" s="16">
        <v>1208</v>
      </c>
      <c r="I18" s="1">
        <f t="shared" si="0"/>
        <v>-3.51</v>
      </c>
      <c r="J18" s="11">
        <v>315</v>
      </c>
    </row>
    <row r="19" spans="2:10" x14ac:dyDescent="0.25">
      <c r="B19" s="13">
        <v>7.55</v>
      </c>
      <c r="C19" s="14">
        <v>3</v>
      </c>
      <c r="D19" s="14">
        <v>648</v>
      </c>
      <c r="E19" s="11">
        <v>316</v>
      </c>
      <c r="F19" s="14">
        <v>12.28</v>
      </c>
      <c r="G19" s="14">
        <v>44</v>
      </c>
      <c r="H19" s="17">
        <v>411</v>
      </c>
      <c r="I19" s="1">
        <f t="shared" si="0"/>
        <v>-4.7299999999999995</v>
      </c>
      <c r="J19" s="11">
        <v>316</v>
      </c>
    </row>
    <row r="20" spans="2:10" x14ac:dyDescent="0.25">
      <c r="B20" s="13">
        <v>7.13</v>
      </c>
      <c r="C20" s="14">
        <v>80</v>
      </c>
      <c r="D20" s="15">
        <v>2355</v>
      </c>
      <c r="E20" s="11">
        <v>317</v>
      </c>
      <c r="F20" s="14">
        <v>12.52</v>
      </c>
      <c r="G20" s="14">
        <v>2</v>
      </c>
      <c r="H20" s="17">
        <v>466</v>
      </c>
      <c r="I20" s="1">
        <f t="shared" si="0"/>
        <v>-5.39</v>
      </c>
      <c r="J20" s="11">
        <v>317</v>
      </c>
    </row>
    <row r="21" spans="2:10" x14ac:dyDescent="0.25">
      <c r="B21" s="13">
        <v>6.53</v>
      </c>
      <c r="C21" s="14">
        <v>3</v>
      </c>
      <c r="D21" s="15">
        <v>1386</v>
      </c>
      <c r="E21" s="11">
        <v>318</v>
      </c>
      <c r="F21" s="14">
        <v>15.4</v>
      </c>
      <c r="G21" s="14">
        <v>433</v>
      </c>
      <c r="H21" s="17">
        <v>935</v>
      </c>
      <c r="I21" s="1">
        <f t="shared" si="0"/>
        <v>-8.870000000000001</v>
      </c>
      <c r="J21" s="11">
        <v>318</v>
      </c>
    </row>
    <row r="22" spans="2:10" x14ac:dyDescent="0.25">
      <c r="B22" s="13">
        <v>5.91</v>
      </c>
      <c r="C22" s="14">
        <v>9</v>
      </c>
      <c r="D22" s="15">
        <v>3348</v>
      </c>
      <c r="E22" s="11">
        <v>319</v>
      </c>
      <c r="F22" s="14">
        <v>15.91</v>
      </c>
      <c r="G22" s="14">
        <v>439</v>
      </c>
      <c r="H22" s="16">
        <v>1436</v>
      </c>
      <c r="I22" s="1">
        <f t="shared" si="0"/>
        <v>-10</v>
      </c>
      <c r="J22" s="11">
        <v>319</v>
      </c>
    </row>
    <row r="23" spans="2:10" x14ac:dyDescent="0.25">
      <c r="B23" s="13">
        <v>5.65</v>
      </c>
      <c r="C23" s="14">
        <v>80</v>
      </c>
      <c r="D23" s="15">
        <v>4960</v>
      </c>
      <c r="E23" s="11">
        <v>320</v>
      </c>
      <c r="F23" s="14">
        <v>14.04</v>
      </c>
      <c r="G23" s="14">
        <v>5</v>
      </c>
      <c r="H23" s="16">
        <v>1391</v>
      </c>
      <c r="I23" s="1">
        <f t="shared" si="0"/>
        <v>-8.3899999999999988</v>
      </c>
      <c r="J23" s="11">
        <v>320</v>
      </c>
    </row>
    <row r="24" spans="2:10" x14ac:dyDescent="0.25">
      <c r="B24" s="13">
        <v>5.22</v>
      </c>
      <c r="C24" s="14">
        <v>3</v>
      </c>
      <c r="D24" s="15">
        <v>16382</v>
      </c>
      <c r="E24" s="11">
        <v>321</v>
      </c>
      <c r="F24" s="14">
        <v>14.69</v>
      </c>
      <c r="G24" s="14">
        <v>484</v>
      </c>
      <c r="H24" s="17">
        <v>383</v>
      </c>
      <c r="I24" s="1">
        <f t="shared" si="0"/>
        <v>-9.4699999999999989</v>
      </c>
      <c r="J24" s="11">
        <v>321</v>
      </c>
    </row>
    <row r="25" spans="2:10" x14ac:dyDescent="0.25">
      <c r="B25" s="13">
        <v>4.67</v>
      </c>
      <c r="C25" s="14">
        <v>84</v>
      </c>
      <c r="D25" s="15">
        <v>2861</v>
      </c>
      <c r="E25" s="11">
        <v>322</v>
      </c>
      <c r="F25" s="14">
        <v>15.05</v>
      </c>
      <c r="G25" s="15">
        <v>1542</v>
      </c>
      <c r="H25" s="17">
        <v>155</v>
      </c>
      <c r="I25" s="1">
        <f t="shared" si="0"/>
        <v>-10.38</v>
      </c>
      <c r="J25" s="11">
        <v>322</v>
      </c>
    </row>
    <row r="26" spans="2:10" ht="15.75" thickBot="1" x14ac:dyDescent="0.3">
      <c r="B26" s="3">
        <v>4.42</v>
      </c>
      <c r="C26" s="4">
        <v>4</v>
      </c>
      <c r="D26" s="18">
        <v>4254</v>
      </c>
      <c r="E26" s="12">
        <v>323</v>
      </c>
      <c r="F26" s="4">
        <v>15.57</v>
      </c>
      <c r="G26" s="4">
        <v>36</v>
      </c>
      <c r="H26" s="5">
        <v>129</v>
      </c>
      <c r="I26" s="1">
        <f t="shared" si="0"/>
        <v>-11.15</v>
      </c>
      <c r="J26" s="12">
        <v>323</v>
      </c>
    </row>
  </sheetData>
  <mergeCells count="2">
    <mergeCell ref="B2:D2"/>
    <mergeCell ref="F2:H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SPY_OPTIONS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MarcoAvellaneda</cp:lastModifiedBy>
  <dcterms:created xsi:type="dcterms:W3CDTF">2014-10-27T09:03:23Z</dcterms:created>
  <dcterms:modified xsi:type="dcterms:W3CDTF">2019-12-06T18:18:12Z</dcterms:modified>
</cp:coreProperties>
</file>